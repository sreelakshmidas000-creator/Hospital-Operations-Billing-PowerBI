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umn Assessment" sheetId="1" state="visible" r:id="rId3"/>
    <sheet name="Dataset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<sst xmlns="http://schemas.openxmlformats.org/spreadsheetml/2006/main" count="157" uniqueCount="118">
  <si>
    <t xml:space="preserve">Column Name</t>
  </si>
  <si>
    <t xml:space="preserve">Data Type</t>
  </si>
  <si>
    <t xml:space="preserve">Non-null Count</t>
  </si>
  <si>
    <t xml:space="preserve">Missing Count</t>
  </si>
  <si>
    <t xml:space="preserve">Missing %</t>
  </si>
  <si>
    <t xml:space="preserve">Unique Count</t>
  </si>
  <si>
    <t xml:space="preserve">Most Frequent Value</t>
  </si>
  <si>
    <t xml:space="preserve">Duplicate/Validity Issues</t>
  </si>
  <si>
    <t xml:space="preserve">Cleaning Needed</t>
  </si>
  <si>
    <t xml:space="preserve">Action Taken</t>
  </si>
  <si>
    <t xml:space="preserve">Reason / Notes</t>
  </si>
  <si>
    <t xml:space="preserve">Name</t>
  </si>
  <si>
    <t xml:space="preserve">Text</t>
  </si>
  <si>
    <t xml:space="preserve">DAvId muNoZ (max 3 times)</t>
  </si>
  <si>
    <t xml:space="preserve">Random mixed casing; titles/suffixes inside names (Mr., DDS)</t>
  </si>
  <si>
    <t xml:space="preserve">Yes</t>
  </si>
  <si>
    <t xml:space="preserve">Trimmed, cleaned, Proper Case; column removed from the cleaned data (privacy)</t>
  </si>
  <si>
    <t xml:space="preserve">Convert to Proper Case; exclude from dashboard and shared cleaned file (privacy)</t>
  </si>
  <si>
    <t xml:space="preserve">Age</t>
  </si>
  <si>
    <t xml:space="preserve">Whole number</t>
  </si>
  <si>
    <t xml:space="preserve">38</t>
  </si>
  <si>
    <t xml:space="preserve">Original records range 18 to 85. Ages 13 to 17 and 86 to 89 (221 rows) appear only in near-duplicate copies and were removed with them.</t>
  </si>
  <si>
    <t xml:space="preserve">Kept the first copy of each duplicate pair; added Age Group column</t>
  </si>
  <si>
    <t xml:space="preserve">Create Age Group; keep first copy of duplicate pairs (see Dataset Summary)</t>
  </si>
  <si>
    <t xml:space="preserve">Gender</t>
  </si>
  <si>
    <t xml:space="preserve">Male</t>
  </si>
  <si>
    <t xml:space="preserve">None found</t>
  </si>
  <si>
    <t xml:space="preserve">No</t>
  </si>
  <si>
    <t xml:space="preserve">None needed (trimmed only)</t>
  </si>
  <si>
    <t xml:space="preserve">Keep as is</t>
  </si>
  <si>
    <t xml:space="preserve">Blood Type</t>
  </si>
  <si>
    <t xml:space="preserve">A-</t>
  </si>
  <si>
    <t xml:space="preserve">Medical Condition</t>
  </si>
  <si>
    <t xml:space="preserve">Arthritis</t>
  </si>
  <si>
    <t xml:space="preserve">None found (6 categories)</t>
  </si>
  <si>
    <t xml:space="preserve">Date of Admission</t>
  </si>
  <si>
    <t xml:space="preserve">Date</t>
  </si>
  <si>
    <t xml:space="preserve">2024-03-16</t>
  </si>
  <si>
    <t xml:space="preserve">None found; confirm Date type</t>
  </si>
  <si>
    <t xml:space="preserve">Check type</t>
  </si>
  <si>
    <t xml:space="preserve">Set to Date type</t>
  </si>
  <si>
    <t xml:space="preserve">Confirm Date type; used for Date table and trends</t>
  </si>
  <si>
    <t xml:space="preserve">Doctor</t>
  </si>
  <si>
    <t xml:space="preserve">Michael Smith</t>
  </si>
  <si>
    <t xml:space="preserve">Almost one value per row</t>
  </si>
  <si>
    <t xml:space="preserve">Trimmed; kept, limitation documented</t>
  </si>
  <si>
    <t xml:space="preserve">Keep; not used for ranking (limitation)</t>
  </si>
  <si>
    <t xml:space="preserve">Hospital</t>
  </si>
  <si>
    <t xml:space="preserve">LLC Smith</t>
  </si>
  <si>
    <t xml:space="preserve">Almost one value per row; odd prefixes (Inc, Ltd, and)</t>
  </si>
  <si>
    <t xml:space="preserve">Keep; document as limitation, cannot be reliably cleaned</t>
  </si>
  <si>
    <t xml:space="preserve">Insurance Provider</t>
  </si>
  <si>
    <t xml:space="preserve">Cigna</t>
  </si>
  <si>
    <t xml:space="preserve">None found (5 categories)</t>
  </si>
  <si>
    <t xml:space="preserve">Billing Amount</t>
  </si>
  <si>
    <t xml:space="preserve">Decimal number</t>
  </si>
  <si>
    <t xml:space="preserve">n/a (almost all values distinct)</t>
  </si>
  <si>
    <t xml:space="preserve">108 negative values; long decimals</t>
  </si>
  <si>
    <t xml:space="preserve">Rounded to 2 decimals, Fixed decimal type; 96 negatives flagged in Billing Status, not deleted</t>
  </si>
  <si>
    <t xml:space="preserve">Round to 2 decimals; flag negatives (possible refunds), do not delete blindly</t>
  </si>
  <si>
    <t xml:space="preserve">Room Number</t>
  </si>
  <si>
    <t xml:space="preserve">Whole number (should be Text)</t>
  </si>
  <si>
    <t xml:space="preserve">393</t>
  </si>
  <si>
    <t xml:space="preserve">Stored as number but is a label (101 to 500)</t>
  </si>
  <si>
    <t xml:space="preserve">Changed to Text (identifier, not a measure)</t>
  </si>
  <si>
    <t xml:space="preserve">Change to Text; never sum or average</t>
  </si>
  <si>
    <t xml:space="preserve">Admission Type</t>
  </si>
  <si>
    <t xml:space="preserve">Elective</t>
  </si>
  <si>
    <t xml:space="preserve">None found (3 categories)</t>
  </si>
  <si>
    <t xml:space="preserve">Discharge Date</t>
  </si>
  <si>
    <t xml:space="preserve">2020-03-15</t>
  </si>
  <si>
    <t xml:space="preserve">Never earlier than admission date; confirm Date type</t>
  </si>
  <si>
    <t xml:space="preserve">Confirm Date type; used for Length of Stay</t>
  </si>
  <si>
    <t xml:space="preserve">Medication</t>
  </si>
  <si>
    <t xml:space="preserve">Lipitor</t>
  </si>
  <si>
    <t xml:space="preserve">Test Results</t>
  </si>
  <si>
    <t xml:space="preserve">Abnormal</t>
  </si>
  <si>
    <t xml:space="preserve">Notes</t>
  </si>
  <si>
    <t xml:space="preserve">Counts are from the raw file (55,500 rows) and match Power Query profiling set to "entire data set". Action Taken records what was done in Power Query on Day 3.</t>
  </si>
  <si>
    <t xml:space="preserve">Check</t>
  </si>
  <si>
    <t xml:space="preserve">Result</t>
  </si>
  <si>
    <t xml:space="preserve">Notes / Decision</t>
  </si>
  <si>
    <t xml:space="preserve">Total rows</t>
  </si>
  <si>
    <t xml:space="preserve">healthcare_dataset.csv, raw file unchanged</t>
  </si>
  <si>
    <t xml:space="preserve">Total columns</t>
  </si>
  <si>
    <t xml:space="preserve">Date range (admissions)</t>
  </si>
  <si>
    <t xml:space="preserve">08 May 2019 to 07 May 2024</t>
  </si>
  <si>
    <t xml:space="preserve">About 5 years</t>
  </si>
  <si>
    <t xml:space="preserve">Exact duplicate rows (all 15 columns identical)</t>
  </si>
  <si>
    <t xml:space="preserve">Same record twice: removed, one copy kept</t>
  </si>
  <si>
    <t xml:space="preserve">Rows sharing all columns except Age (both copies)</t>
  </si>
  <si>
    <t xml:space="preserve">Same admission recorded twice; only Age differs</t>
  </si>
  <si>
    <t xml:space="preserve">Extra near-duplicate rows to remove</t>
  </si>
  <si>
    <t xml:space="preserve">Keep one record per admission; first copy kept</t>
  </si>
  <si>
    <t xml:space="preserve">Rows expected after de-duplication</t>
  </si>
  <si>
    <t xml:space="preserve">Formula: total rows minus extra near-duplicates</t>
  </si>
  <si>
    <t xml:space="preserve">Missing values (all columns)</t>
  </si>
  <si>
    <t xml:space="preserve">None found; no imputation needed</t>
  </si>
  <si>
    <t xml:space="preserve">Invalid values: negative Billing Amount</t>
  </si>
  <si>
    <t xml:space="preserve">Min -2,008.49; possible refunds or adjustments; flag, investigate, do not auto-delete</t>
  </si>
  <si>
    <t xml:space="preserve">Potential outliers: highest Billing Amount</t>
  </si>
  <si>
    <t xml:space="preserve">Plausible magnitude; keep (not deleted without business reason)</t>
  </si>
  <si>
    <t xml:space="preserve">Inconsistent values</t>
  </si>
  <si>
    <t xml:space="preserve">Name casing; titles inside names</t>
  </si>
  <si>
    <t xml:space="preserve">Fixed with Proper Case; names excluded from cleaned data</t>
  </si>
  <si>
    <t xml:space="preserve">Discharge before admission</t>
  </si>
  <si>
    <t xml:space="preserve">Checked: no invalid date order; Length of Stay is 1 to 30 days</t>
  </si>
  <si>
    <t xml:space="preserve">Grain</t>
  </si>
  <si>
    <t xml:space="preserve">One row = one patient admission</t>
  </si>
  <si>
    <t xml:space="preserve">Understood; used for the data model</t>
  </si>
  <si>
    <t xml:space="preserve">Rows after cleaning</t>
  </si>
  <si>
    <t xml:space="preserve">One row per admission (Admission ID 1 to 50,000)</t>
  </si>
  <si>
    <t xml:space="preserve">Duplicate rows removed</t>
  </si>
  <si>
    <t xml:space="preserve">534 exact copies plus 4,966 differing only in Age; first copy kept</t>
  </si>
  <si>
    <t xml:space="preserve">Negative billing rows after cleaning</t>
  </si>
  <si>
    <t xml:space="preserve">Flagged in Billing Status, not deleted (possible refunds)</t>
  </si>
  <si>
    <t xml:space="preserve">Columns after cleaning</t>
  </si>
  <si>
    <t xml:space="preserve">Name removed; Billing Status, Length of Stay, Age Group, Admission ID added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</si>
</sst>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48"/>
    <col collapsed="false" customWidth="true" hidden="false" outlineLevel="0" max="9" min="9" style="0" width="14"/>
    <col collapsed="false" customWidth="true" hidden="false" outlineLevel="0" max="10" min="10" style="0" width="48"/>
    <col collapsed="false" customWidth="true" hidden="false" outlineLevel="0" max="11" min="11" style="0" width="5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3" t="n">
        <v>55500</v>
      </c>
      <c r="D2" s="3" t="n">
        <v>0</v>
      </c>
      <c r="E2" s="4" t="n">
        <f aca="false">D2/(C2+D2)</f>
        <v>0</v>
      </c>
      <c r="F2" s="3" t="n">
        <v>49992</v>
      </c>
      <c r="G2" s="2" t="s">
        <v>13</v>
      </c>
      <c r="H2" s="2" t="s">
        <v>14</v>
      </c>
      <c r="I2" s="2" t="s">
        <v>15</v>
      </c>
      <c r="J2" s="5" t="s">
        <v>16</v>
      </c>
      <c r="K2" s="2" t="s">
        <v>17</v>
      </c>
    </row>
    <row r="3" customFormat="false" ht="35.05" hidden="false" customHeight="false" outlineLevel="0" collapsed="false">
      <c r="A3" s="2" t="s">
        <v>18</v>
      </c>
      <c r="B3" s="2" t="s">
        <v>19</v>
      </c>
      <c r="C3" s="3" t="n">
        <v>55500</v>
      </c>
      <c r="D3" s="3" t="n">
        <v>0</v>
      </c>
      <c r="E3" s="4" t="n">
        <f aca="false">D3/(C3+D3)</f>
        <v>0</v>
      </c>
      <c r="F3" s="3" t="n">
        <v>77</v>
      </c>
      <c r="G3" s="2" t="s">
        <v>20</v>
      </c>
      <c r="H3" s="2" t="s">
        <v>21</v>
      </c>
      <c r="I3" s="2" t="s">
        <v>15</v>
      </c>
      <c r="J3" s="5" t="s">
        <v>22</v>
      </c>
      <c r="K3" s="2" t="s">
        <v>23</v>
      </c>
    </row>
    <row r="4" customFormat="false" ht="15" hidden="false" customHeight="false" outlineLevel="0" collapsed="false">
      <c r="A4" s="2" t="s">
        <v>24</v>
      </c>
      <c r="B4" s="2" t="s">
        <v>12</v>
      </c>
      <c r="C4" s="3" t="n">
        <v>55500</v>
      </c>
      <c r="D4" s="3" t="n">
        <v>0</v>
      </c>
      <c r="E4" s="4" t="n">
        <f aca="false">D4/(C4+D4)</f>
        <v>0</v>
      </c>
      <c r="F4" s="3" t="n">
        <v>2</v>
      </c>
      <c r="G4" s="2" t="s">
        <v>25</v>
      </c>
      <c r="H4" s="2" t="s">
        <v>26</v>
      </c>
      <c r="I4" s="2" t="s">
        <v>27</v>
      </c>
      <c r="J4" s="5" t="s">
        <v>28</v>
      </c>
      <c r="K4" s="2" t="s">
        <v>29</v>
      </c>
    </row>
    <row r="5" customFormat="false" ht="15" hidden="false" customHeight="false" outlineLevel="0" collapsed="false">
      <c r="A5" s="2" t="s">
        <v>30</v>
      </c>
      <c r="B5" s="2" t="s">
        <v>12</v>
      </c>
      <c r="C5" s="3" t="n">
        <v>55500</v>
      </c>
      <c r="D5" s="3" t="n">
        <v>0</v>
      </c>
      <c r="E5" s="4" t="n">
        <f aca="false">D5/(C5+D5)</f>
        <v>0</v>
      </c>
      <c r="F5" s="3" t="n">
        <v>8</v>
      </c>
      <c r="G5" s="2" t="s">
        <v>31</v>
      </c>
      <c r="H5" s="2" t="s">
        <v>26</v>
      </c>
      <c r="I5" s="2" t="s">
        <v>27</v>
      </c>
      <c r="J5" s="5" t="s">
        <v>28</v>
      </c>
      <c r="K5" s="2" t="s">
        <v>29</v>
      </c>
    </row>
    <row r="6" customFormat="false" ht="15" hidden="false" customHeight="false" outlineLevel="0" collapsed="false">
      <c r="A6" s="2" t="s">
        <v>32</v>
      </c>
      <c r="B6" s="2" t="s">
        <v>12</v>
      </c>
      <c r="C6" s="3" t="n">
        <v>55500</v>
      </c>
      <c r="D6" s="3" t="n">
        <v>0</v>
      </c>
      <c r="E6" s="4" t="n">
        <f aca="false">D6/(C6+D6)</f>
        <v>0</v>
      </c>
      <c r="F6" s="3" t="n">
        <v>6</v>
      </c>
      <c r="G6" s="2" t="s">
        <v>33</v>
      </c>
      <c r="H6" s="2" t="s">
        <v>34</v>
      </c>
      <c r="I6" s="2" t="s">
        <v>27</v>
      </c>
      <c r="J6" s="5" t="s">
        <v>28</v>
      </c>
      <c r="K6" s="2" t="s">
        <v>29</v>
      </c>
    </row>
    <row r="7" customFormat="false" ht="15" hidden="false" customHeight="false" outlineLevel="0" collapsed="false">
      <c r="A7" s="2" t="s">
        <v>35</v>
      </c>
      <c r="B7" s="2" t="s">
        <v>36</v>
      </c>
      <c r="C7" s="3" t="n">
        <v>55500</v>
      </c>
      <c r="D7" s="3" t="n">
        <v>0</v>
      </c>
      <c r="E7" s="4" t="n">
        <f aca="false">D7/(C7+D7)</f>
        <v>0</v>
      </c>
      <c r="F7" s="3" t="n">
        <v>1827</v>
      </c>
      <c r="G7" s="2" t="s">
        <v>37</v>
      </c>
      <c r="H7" s="2" t="s">
        <v>38</v>
      </c>
      <c r="I7" s="2" t="s">
        <v>39</v>
      </c>
      <c r="J7" s="5" t="s">
        <v>40</v>
      </c>
      <c r="K7" s="2" t="s">
        <v>41</v>
      </c>
    </row>
    <row r="8" customFormat="false" ht="15" hidden="false" customHeight="false" outlineLevel="0" collapsed="false">
      <c r="A8" s="2" t="s">
        <v>42</v>
      </c>
      <c r="B8" s="2" t="s">
        <v>12</v>
      </c>
      <c r="C8" s="3" t="n">
        <v>55500</v>
      </c>
      <c r="D8" s="3" t="n">
        <v>0</v>
      </c>
      <c r="E8" s="4" t="n">
        <f aca="false">D8/(C8+D8)</f>
        <v>0</v>
      </c>
      <c r="F8" s="3" t="n">
        <v>40341</v>
      </c>
      <c r="G8" s="2" t="s">
        <v>43</v>
      </c>
      <c r="H8" s="2" t="s">
        <v>44</v>
      </c>
      <c r="I8" s="2" t="s">
        <v>27</v>
      </c>
      <c r="J8" s="5" t="s">
        <v>45</v>
      </c>
      <c r="K8" s="2" t="s">
        <v>46</v>
      </c>
    </row>
    <row r="9" customFormat="false" ht="15" hidden="false" customHeight="false" outlineLevel="0" collapsed="false">
      <c r="A9" s="2" t="s">
        <v>47</v>
      </c>
      <c r="B9" s="2" t="s">
        <v>12</v>
      </c>
      <c r="C9" s="3" t="n">
        <v>55500</v>
      </c>
      <c r="D9" s="3" t="n">
        <v>0</v>
      </c>
      <c r="E9" s="4" t="n">
        <f aca="false">D9/(C9+D9)</f>
        <v>0</v>
      </c>
      <c r="F9" s="3" t="n">
        <v>39876</v>
      </c>
      <c r="G9" s="2" t="s">
        <v>48</v>
      </c>
      <c r="H9" s="2" t="s">
        <v>49</v>
      </c>
      <c r="I9" s="2" t="s">
        <v>27</v>
      </c>
      <c r="J9" s="5" t="s">
        <v>45</v>
      </c>
      <c r="K9" s="2" t="s">
        <v>50</v>
      </c>
    </row>
    <row r="10" customFormat="false" ht="15" hidden="false" customHeight="false" outlineLevel="0" collapsed="false">
      <c r="A10" s="2" t="s">
        <v>51</v>
      </c>
      <c r="B10" s="2" t="s">
        <v>12</v>
      </c>
      <c r="C10" s="3" t="n">
        <v>55500</v>
      </c>
      <c r="D10" s="3" t="n">
        <v>0</v>
      </c>
      <c r="E10" s="4" t="n">
        <f aca="false">D10/(C10+D10)</f>
        <v>0</v>
      </c>
      <c r="F10" s="3" t="n">
        <v>5</v>
      </c>
      <c r="G10" s="2" t="s">
        <v>52</v>
      </c>
      <c r="H10" s="2" t="s">
        <v>53</v>
      </c>
      <c r="I10" s="2" t="s">
        <v>27</v>
      </c>
      <c r="J10" s="5" t="s">
        <v>28</v>
      </c>
      <c r="K10" s="2" t="s">
        <v>29</v>
      </c>
    </row>
    <row r="11" customFormat="false" ht="23.85" hidden="false" customHeight="false" outlineLevel="0" collapsed="false">
      <c r="A11" s="2" t="s">
        <v>54</v>
      </c>
      <c r="B11" s="2" t="s">
        <v>55</v>
      </c>
      <c r="C11" s="3" t="n">
        <v>55500</v>
      </c>
      <c r="D11" s="3" t="n">
        <v>0</v>
      </c>
      <c r="E11" s="4" t="n">
        <f aca="false">D11/(C11+D11)</f>
        <v>0</v>
      </c>
      <c r="F11" s="3" t="n">
        <v>50000</v>
      </c>
      <c r="G11" s="2" t="s">
        <v>56</v>
      </c>
      <c r="H11" s="2" t="s">
        <v>57</v>
      </c>
      <c r="I11" s="2" t="s">
        <v>15</v>
      </c>
      <c r="J11" s="5" t="s">
        <v>58</v>
      </c>
      <c r="K11" s="2" t="s">
        <v>59</v>
      </c>
    </row>
    <row r="12" customFormat="false" ht="23.85" hidden="false" customHeight="false" outlineLevel="0" collapsed="false">
      <c r="A12" s="2" t="s">
        <v>60</v>
      </c>
      <c r="B12" s="2" t="s">
        <v>61</v>
      </c>
      <c r="C12" s="3" t="n">
        <v>55500</v>
      </c>
      <c r="D12" s="3" t="n">
        <v>0</v>
      </c>
      <c r="E12" s="4" t="n">
        <f aca="false">D12/(C12+D12)</f>
        <v>0</v>
      </c>
      <c r="F12" s="3" t="n">
        <v>400</v>
      </c>
      <c r="G12" s="2" t="s">
        <v>62</v>
      </c>
      <c r="H12" s="2" t="s">
        <v>63</v>
      </c>
      <c r="I12" s="2" t="s">
        <v>15</v>
      </c>
      <c r="J12" s="5" t="s">
        <v>64</v>
      </c>
      <c r="K12" s="2" t="s">
        <v>65</v>
      </c>
    </row>
    <row r="13" customFormat="false" ht="15" hidden="false" customHeight="false" outlineLevel="0" collapsed="false">
      <c r="A13" s="2" t="s">
        <v>66</v>
      </c>
      <c r="B13" s="2" t="s">
        <v>12</v>
      </c>
      <c r="C13" s="3" t="n">
        <v>55500</v>
      </c>
      <c r="D13" s="3" t="n">
        <v>0</v>
      </c>
      <c r="E13" s="4" t="n">
        <f aca="false">D13/(C13+D13)</f>
        <v>0</v>
      </c>
      <c r="F13" s="3" t="n">
        <v>3</v>
      </c>
      <c r="G13" s="2" t="s">
        <v>67</v>
      </c>
      <c r="H13" s="2" t="s">
        <v>68</v>
      </c>
      <c r="I13" s="2" t="s">
        <v>27</v>
      </c>
      <c r="J13" s="5" t="s">
        <v>28</v>
      </c>
      <c r="K13" s="2" t="s">
        <v>29</v>
      </c>
    </row>
    <row r="14" customFormat="false" ht="15" hidden="false" customHeight="false" outlineLevel="0" collapsed="false">
      <c r="A14" s="2" t="s">
        <v>69</v>
      </c>
      <c r="B14" s="2" t="s">
        <v>36</v>
      </c>
      <c r="C14" s="3" t="n">
        <v>55500</v>
      </c>
      <c r="D14" s="3" t="n">
        <v>0</v>
      </c>
      <c r="E14" s="4" t="n">
        <f aca="false">D14/(C14+D14)</f>
        <v>0</v>
      </c>
      <c r="F14" s="3" t="n">
        <v>1856</v>
      </c>
      <c r="G14" s="2" t="s">
        <v>70</v>
      </c>
      <c r="H14" s="2" t="s">
        <v>71</v>
      </c>
      <c r="I14" s="2" t="s">
        <v>39</v>
      </c>
      <c r="J14" s="5" t="s">
        <v>40</v>
      </c>
      <c r="K14" s="2" t="s">
        <v>72</v>
      </c>
    </row>
    <row r="15" customFormat="false" ht="15" hidden="false" customHeight="false" outlineLevel="0" collapsed="false">
      <c r="A15" s="2" t="s">
        <v>73</v>
      </c>
      <c r="B15" s="2" t="s">
        <v>12</v>
      </c>
      <c r="C15" s="3" t="n">
        <v>55500</v>
      </c>
      <c r="D15" s="3" t="n">
        <v>0</v>
      </c>
      <c r="E15" s="4" t="n">
        <f aca="false">D15/(C15+D15)</f>
        <v>0</v>
      </c>
      <c r="F15" s="3" t="n">
        <v>5</v>
      </c>
      <c r="G15" s="2" t="s">
        <v>74</v>
      </c>
      <c r="H15" s="2" t="s">
        <v>53</v>
      </c>
      <c r="I15" s="2" t="s">
        <v>27</v>
      </c>
      <c r="J15" s="5" t="s">
        <v>28</v>
      </c>
      <c r="K15" s="2" t="s">
        <v>29</v>
      </c>
    </row>
    <row r="16" customFormat="false" ht="15" hidden="false" customHeight="false" outlineLevel="0" collapsed="false">
      <c r="A16" s="2" t="s">
        <v>75</v>
      </c>
      <c r="B16" s="2" t="s">
        <v>12</v>
      </c>
      <c r="C16" s="3" t="n">
        <v>55500</v>
      </c>
      <c r="D16" s="3" t="n">
        <v>0</v>
      </c>
      <c r="E16" s="4" t="n">
        <f aca="false">D16/(C16+D16)</f>
        <v>0</v>
      </c>
      <c r="F16" s="3" t="n">
        <v>3</v>
      </c>
      <c r="G16" s="2" t="s">
        <v>76</v>
      </c>
      <c r="H16" s="2" t="s">
        <v>68</v>
      </c>
      <c r="I16" s="2" t="s">
        <v>27</v>
      </c>
      <c r="J16" s="5" t="s">
        <v>28</v>
      </c>
      <c r="K16" s="2" t="s">
        <v>29</v>
      </c>
    </row>
    <row r="18" customFormat="false" ht="15" hidden="false" customHeight="false" outlineLevel="0" collapsed="false">
      <c r="A18" s="6" t="s">
        <v>77</v>
      </c>
    </row>
    <row r="19" customFormat="false" ht="15" hidden="false" customHeight="false" outlineLevel="0" collapsed="false">
      <c r="A19" s="7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8" t="s">
        <v>79</v>
      </c>
      <c r="B1" s="8" t="s">
        <v>80</v>
      </c>
      <c r="C1" s="8" t="s">
        <v>81</v>
      </c>
    </row>
    <row r="2" customFormat="false" ht="15" hidden="false" customHeight="false" outlineLevel="0" collapsed="false">
      <c r="A2" s="2" t="s">
        <v>82</v>
      </c>
      <c r="B2" s="3" t="n">
        <v>55500</v>
      </c>
      <c r="C2" s="2" t="s">
        <v>83</v>
      </c>
    </row>
    <row r="3" customFormat="false" ht="15" hidden="false" customHeight="false" outlineLevel="0" collapsed="false">
      <c r="A3" s="2" t="s">
        <v>84</v>
      </c>
      <c r="B3" s="3" t="n">
        <v>15</v>
      </c>
      <c r="C3" s="2"/>
    </row>
    <row r="4" customFormat="false" ht="15" hidden="false" customHeight="false" outlineLevel="0" collapsed="false">
      <c r="A4" s="2" t="s">
        <v>85</v>
      </c>
      <c r="B4" s="2" t="s">
        <v>86</v>
      </c>
      <c r="C4" s="2" t="s">
        <v>87</v>
      </c>
    </row>
    <row r="5" customFormat="false" ht="15" hidden="false" customHeight="false" outlineLevel="0" collapsed="false">
      <c r="A5" s="2" t="s">
        <v>88</v>
      </c>
      <c r="B5" s="3" t="n">
        <v>534</v>
      </c>
      <c r="C5" s="2" t="s">
        <v>89</v>
      </c>
    </row>
    <row r="6" customFormat="false" ht="15" hidden="false" customHeight="false" outlineLevel="0" collapsed="false">
      <c r="A6" s="2" t="s">
        <v>90</v>
      </c>
      <c r="B6" s="3" t="n">
        <v>11000</v>
      </c>
      <c r="C6" s="2" t="s">
        <v>91</v>
      </c>
    </row>
    <row r="7" customFormat="false" ht="15" hidden="false" customHeight="false" outlineLevel="0" collapsed="false">
      <c r="A7" s="2" t="s">
        <v>92</v>
      </c>
      <c r="B7" s="3" t="n">
        <v>5500</v>
      </c>
      <c r="C7" s="2" t="s">
        <v>93</v>
      </c>
    </row>
    <row r="8" customFormat="false" ht="15" hidden="false" customHeight="false" outlineLevel="0" collapsed="false">
      <c r="A8" s="2" t="s">
        <v>94</v>
      </c>
      <c r="B8" s="3" t="n">
        <f aca="false">B2-B7</f>
        <v>50000</v>
      </c>
      <c r="C8" s="2" t="s">
        <v>95</v>
      </c>
    </row>
    <row r="9" customFormat="false" ht="15" hidden="false" customHeight="false" outlineLevel="0" collapsed="false">
      <c r="A9" s="2" t="s">
        <v>96</v>
      </c>
      <c r="B9" s="3" t="n">
        <v>0</v>
      </c>
      <c r="C9" s="2" t="s">
        <v>97</v>
      </c>
    </row>
    <row r="10" customFormat="false" ht="15" hidden="false" customHeight="false" outlineLevel="0" collapsed="false">
      <c r="A10" s="2" t="s">
        <v>98</v>
      </c>
      <c r="B10" s="3" t="n">
        <v>108</v>
      </c>
      <c r="C10" s="2" t="s">
        <v>99</v>
      </c>
    </row>
    <row r="11" customFormat="false" ht="15" hidden="false" customHeight="false" outlineLevel="0" collapsed="false">
      <c r="A11" s="2" t="s">
        <v>100</v>
      </c>
      <c r="B11" s="9" t="n">
        <v>52764.28</v>
      </c>
      <c r="C11" s="2" t="s">
        <v>101</v>
      </c>
    </row>
    <row r="12" customFormat="false" ht="15" hidden="false" customHeight="false" outlineLevel="0" collapsed="false">
      <c r="A12" s="2" t="s">
        <v>102</v>
      </c>
      <c r="B12" s="2" t="s">
        <v>103</v>
      </c>
      <c r="C12" s="2" t="s">
        <v>104</v>
      </c>
    </row>
    <row r="13" customFormat="false" ht="15" hidden="false" customHeight="false" outlineLevel="0" collapsed="false">
      <c r="A13" s="2" t="s">
        <v>105</v>
      </c>
      <c r="B13" s="3" t="n">
        <v>0</v>
      </c>
      <c r="C13" s="2" t="s">
        <v>106</v>
      </c>
    </row>
    <row r="14" customFormat="false" ht="15" hidden="false" customHeight="false" outlineLevel="0" collapsed="false">
      <c r="A14" s="2" t="s">
        <v>107</v>
      </c>
      <c r="B14" s="2" t="s">
        <v>108</v>
      </c>
      <c r="C14" s="2" t="s">
        <v>109</v>
      </c>
    </row>
    <row r="15" customFormat="false" ht="15" hidden="false" customHeight="false" outlineLevel="0" collapsed="false">
      <c r="A15" s="2" t="s">
        <v>110</v>
      </c>
      <c r="B15" s="3" t="n">
        <v>50000</v>
      </c>
      <c r="C15" s="2" t="s">
        <v>111</v>
      </c>
    </row>
    <row r="16" customFormat="false" ht="15" hidden="false" customHeight="false" outlineLevel="0" collapsed="false">
      <c r="A16" s="2" t="s">
        <v>112</v>
      </c>
      <c r="B16" s="3" t="n">
        <v>5500</v>
      </c>
      <c r="C16" s="2" t="s">
        <v>113</v>
      </c>
    </row>
    <row r="17" customFormat="false" ht="15" hidden="false" customHeight="false" outlineLevel="0" collapsed="false">
      <c r="A17" s="2" t="s">
        <v>114</v>
      </c>
      <c r="B17" s="3" t="n">
        <v>96</v>
      </c>
      <c r="C17" s="2" t="s">
        <v>115</v>
      </c>
    </row>
    <row r="18" customFormat="false" ht="15" hidden="false" customHeight="false" outlineLevel="0" collapsed="false">
      <c r="A18" s="2" t="s">
        <v>116</v>
      </c>
      <c r="B18" s="3" t="n">
        <v>18</v>
      </c>
      <c r="C18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2026-10-16T10:29:42Z</dcterms:created>
  <dc:creator>openpyxl</dc:creator>
  <dc:description/>
  <dc:language>en-US</dc:language>
  <cp:lastModifiedBy/>
  <dcterms:modified xsi:type="dcterms:W3CDTF">2026-10-16T10:29:42Z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